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3"/>
    <sheet name="Resumen por cluster" sheetId="2" state="visible" r:id="rId4"/>
    <sheet name="Por pais (aprox.)" sheetId="3" state="visible" r:id="rId5"/>
  </sheets>
  <definedNames>
    <definedName function="false" hidden="true" localSheetId="0" name="_xlnm._FilterDatabase" vbProcedure="false">Inventario!$A$4:$G$52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<sst xmlns="http://schemas.openxmlformats.org/spreadsheetml/2006/main" count="332" uniqueCount="145">
  <si>
    <t xml:space="preserve">Inventario de talento  ·  Conexion RedJIV</t>
  </si>
  <si>
    <t xml:space="preserve">Primer encuentro (19 jun 2026). Personas unicas, registros duplicados consolidados. Pais y afiliacion inferidos de dominio de correo y codigo telefonico (aproximado).</t>
  </si>
  <si>
    <t xml:space="preserve">#</t>
  </si>
  <si>
    <t xml:space="preserve">Nombre</t>
  </si>
  <si>
    <t xml:space="preserve">Area de conocimiento (declarada)</t>
  </si>
  <si>
    <t xml:space="preserve">Cluster</t>
  </si>
  <si>
    <t xml:space="preserve">Pais (aprox.)</t>
  </si>
  <si>
    <t xml:space="preserve">Afiliacion</t>
  </si>
  <si>
    <t xml:space="preserve">Presento idea</t>
  </si>
  <si>
    <t xml:space="preserve">Cherry Andrea Rojas</t>
  </si>
  <si>
    <t xml:space="preserve">Botanica, briologia, ecologia de briofitas</t>
  </si>
  <si>
    <t xml:space="preserve">Biologia y ecologia</t>
  </si>
  <si>
    <t xml:space="preserve">Brasil</t>
  </si>
  <si>
    <t xml:space="preserve">-</t>
  </si>
  <si>
    <t xml:space="preserve">Si</t>
  </si>
  <si>
    <t xml:space="preserve">Jhon Espinoza</t>
  </si>
  <si>
    <t xml:space="preserve">Biologia</t>
  </si>
  <si>
    <t xml:space="preserve">Venezuela</t>
  </si>
  <si>
    <t xml:space="preserve">Maria Gabriela Gutierrez</t>
  </si>
  <si>
    <t xml:space="preserve">No</t>
  </si>
  <si>
    <t xml:space="preserve">Mariana Gelambi Desiato</t>
  </si>
  <si>
    <t xml:space="preserve">Zoologia, interaccion planta-animal, ecologia quimica, estadistica</t>
  </si>
  <si>
    <t xml:space="preserve">EE. UU.</t>
  </si>
  <si>
    <t xml:space="preserve">Virginia Tech</t>
  </si>
  <si>
    <t xml:space="preserve">Moises Escalona</t>
  </si>
  <si>
    <t xml:space="preserve">Zoologia, evolucion, bioacustica</t>
  </si>
  <si>
    <t xml:space="preserve">Diego Baptista</t>
  </si>
  <si>
    <t xml:space="preserve">Ciencias de la computacion</t>
  </si>
  <si>
    <t xml:space="preserve">Computo, datos e infraestructura</t>
  </si>
  <si>
    <t xml:space="preserve">Austria</t>
  </si>
  <si>
    <t xml:space="preserve">TU Graz</t>
  </si>
  <si>
    <t xml:space="preserve">Jose Hugo Garcia Aguilar</t>
  </si>
  <si>
    <t xml:space="preserve">IA, materiales avanzados, emprendimiento</t>
  </si>
  <si>
    <t xml:space="preserve">Espana</t>
  </si>
  <si>
    <t xml:space="preserve">ICN2 / Apeiron Agents</t>
  </si>
  <si>
    <t xml:space="preserve">Luis Montilla</t>
  </si>
  <si>
    <t xml:space="preserve">Ciencias biologicas; infraestructura academica abierta</t>
  </si>
  <si>
    <t xml:space="preserve">Crossref</t>
  </si>
  <si>
    <t xml:space="preserve">Arturo Sanchez Pineda</t>
  </si>
  <si>
    <t xml:space="preserve">Fisica; computacion cientifica</t>
  </si>
  <si>
    <t xml:space="preserve">Fisica y sistemas complejos</t>
  </si>
  <si>
    <t xml:space="preserve">Suiza</t>
  </si>
  <si>
    <t xml:space="preserve">INAIT / CERN (assoc.)</t>
  </si>
  <si>
    <t xml:space="preserve">Barbara Montanes</t>
  </si>
  <si>
    <t xml:space="preserve">Fisica</t>
  </si>
  <si>
    <t xml:space="preserve">Camilo las Heras</t>
  </si>
  <si>
    <t xml:space="preserve">Fisica teorica de altas energias</t>
  </si>
  <si>
    <t xml:space="preserve">Chile</t>
  </si>
  <si>
    <t xml:space="preserve">David Bellorin</t>
  </si>
  <si>
    <t xml:space="preserve">USB</t>
  </si>
  <si>
    <t xml:space="preserve">Goosline Pereira</t>
  </si>
  <si>
    <t xml:space="preserve">Leonardo Manrique</t>
  </si>
  <si>
    <t xml:space="preserve">Oscar Altuve</t>
  </si>
  <si>
    <t xml:space="preserve">Raffaella Martinez</t>
  </si>
  <si>
    <t xml:space="preserve">Fisica; medios granulares</t>
  </si>
  <si>
    <t xml:space="preserve">Roberto Florez Ablan</t>
  </si>
  <si>
    <t xml:space="preserve">Fisica; computacion cuantica</t>
  </si>
  <si>
    <t xml:space="preserve">Alemania</t>
  </si>
  <si>
    <t xml:space="preserve">Victor Guzman</t>
  </si>
  <si>
    <t xml:space="preserve">Sistemas complejos, sociofisica, dinamica estocastica</t>
  </si>
  <si>
    <t xml:space="preserve">Liliana Lopez</t>
  </si>
  <si>
    <t xml:space="preserve">Geoquimica</t>
  </si>
  <si>
    <t xml:space="preserve">Geociencias</t>
  </si>
  <si>
    <t xml:space="preserve">UCV</t>
  </si>
  <si>
    <t xml:space="preserve">Reybert Carrillo</t>
  </si>
  <si>
    <t xml:space="preserve">Geografia y ambiente</t>
  </si>
  <si>
    <t xml:space="preserve">Saul Escobar</t>
  </si>
  <si>
    <t xml:space="preserve">Geologia y geociencias</t>
  </si>
  <si>
    <t xml:space="preserve">Alejandro Goldar</t>
  </si>
  <si>
    <t xml:space="preserve">Sistemas de control; automatizacion y energia</t>
  </si>
  <si>
    <t xml:space="preserve">Ingenieria y control</t>
  </si>
  <si>
    <t xml:space="preserve">Belgica</t>
  </si>
  <si>
    <t xml:space="preserve">ULB</t>
  </si>
  <si>
    <t xml:space="preserve">Luismar Natera Maestre</t>
  </si>
  <si>
    <t xml:space="preserve">Matematicas</t>
  </si>
  <si>
    <t xml:space="preserve">Moises Rojas</t>
  </si>
  <si>
    <t xml:space="preserve">Damian Ruiz Ramoni</t>
  </si>
  <si>
    <t xml:space="preserve">Paleontologia</t>
  </si>
  <si>
    <t xml:space="preserve">Argentina</t>
  </si>
  <si>
    <t xml:space="preserve">Alberto Guevara</t>
  </si>
  <si>
    <t xml:space="preserve">Bioquimica</t>
  </si>
  <si>
    <t xml:space="preserve">Quimica y materiales</t>
  </si>
  <si>
    <t xml:space="preserve">Ali Mijoba</t>
  </si>
  <si>
    <t xml:space="preserve">Quimica medicinal</t>
  </si>
  <si>
    <t xml:space="preserve">Dalia Leon-Chaparro</t>
  </si>
  <si>
    <t xml:space="preserve">Electroquimica; impedancia electroquimica</t>
  </si>
  <si>
    <t xml:space="preserve">Paises Bajos</t>
  </si>
  <si>
    <t xml:space="preserve">TU Delft</t>
  </si>
  <si>
    <t xml:space="preserve">Estefania Sucre Rosales</t>
  </si>
  <si>
    <t xml:space="preserve">Fotoquimica, fotofisica, espectroscopia</t>
  </si>
  <si>
    <t xml:space="preserve">Fernando Mendez</t>
  </si>
  <si>
    <t xml:space="preserve">Quimica analitica y ambiental</t>
  </si>
  <si>
    <t xml:space="preserve">Gabriela Quintero</t>
  </si>
  <si>
    <t xml:space="preserve">Formulaciones quimicas</t>
  </si>
  <si>
    <t xml:space="preserve">Jesus Afonso Urich</t>
  </si>
  <si>
    <t xml:space="preserve">Quimica, ciencias farmaceuticas, regulatorio</t>
  </si>
  <si>
    <t xml:space="preserve">Judith Medina Vargas</t>
  </si>
  <si>
    <t xml:space="preserve">Quimica; catalisis para almacenamiento de hidrogeno</t>
  </si>
  <si>
    <t xml:space="preserve">Miguel Fernandez</t>
  </si>
  <si>
    <t xml:space="preserve">Quimica computacional</t>
  </si>
  <si>
    <t xml:space="preserve">Miguel Leon</t>
  </si>
  <si>
    <t xml:space="preserve">Fotoquimica y fotobiologia</t>
  </si>
  <si>
    <t xml:space="preserve">Rafael Rodriguez Lugo</t>
  </si>
  <si>
    <t xml:space="preserve">Quimica inorganica molecular</t>
  </si>
  <si>
    <t xml:space="preserve">Italia</t>
  </si>
  <si>
    <t xml:space="preserve">CNR (ICCOM)</t>
  </si>
  <si>
    <t xml:space="preserve">Ricardo Fernandez-Teran</t>
  </si>
  <si>
    <t xml:space="preserve">Quimica fisica, espectroscopia, inorganica</t>
  </si>
  <si>
    <t xml:space="preserve">Univ. de Ginebra</t>
  </si>
  <si>
    <t xml:space="preserve">Sergio A. Arias</t>
  </si>
  <si>
    <t xml:space="preserve">Ingenieria electroquimica</t>
  </si>
  <si>
    <t xml:space="preserve">Texas Tech</t>
  </si>
  <si>
    <t xml:space="preserve">Valentin Brito</t>
  </si>
  <si>
    <t xml:space="preserve">Quimica; polimeros</t>
  </si>
  <si>
    <t xml:space="preserve">UDO</t>
  </si>
  <si>
    <t xml:space="preserve">Eduar Garcia</t>
  </si>
  <si>
    <t xml:space="preserve">Inmunologia</t>
  </si>
  <si>
    <t xml:space="preserve">Salud y biomedicina</t>
  </si>
  <si>
    <t xml:space="preserve">Eduardo Rodriguez-Roman</t>
  </si>
  <si>
    <t xml:space="preserve">Virologia</t>
  </si>
  <si>
    <t xml:space="preserve">Fhabian Stevens Carrion-Nessi</t>
  </si>
  <si>
    <t xml:space="preserve">Inmunologia y malaria</t>
  </si>
  <si>
    <t xml:space="preserve">Univ. de Navarra</t>
  </si>
  <si>
    <t xml:space="preserve">Jamileth More</t>
  </si>
  <si>
    <t xml:space="preserve">Neurociencias</t>
  </si>
  <si>
    <t xml:space="preserve">Peru</t>
  </si>
  <si>
    <t xml:space="preserve">Jose Orejas</t>
  </si>
  <si>
    <t xml:space="preserve">Medicina</t>
  </si>
  <si>
    <t xml:space="preserve">Juan Carlos Gabaldon Figueira</t>
  </si>
  <si>
    <t xml:space="preserve">Parasitologia; medicina</t>
  </si>
  <si>
    <t xml:space="preserve">Maria Vincenti Gonzalez</t>
  </si>
  <si>
    <t xml:space="preserve">Epidemiologia tropical, GIS/modelos predictivos, ciencias de la informacion</t>
  </si>
  <si>
    <t xml:space="preserve">Univ. de Maastricht</t>
  </si>
  <si>
    <t xml:space="preserve">Maryalbis Suarez Patino</t>
  </si>
  <si>
    <t xml:space="preserve">Biofisica; fisiologia bacteriana</t>
  </si>
  <si>
    <t xml:space="preserve">Francia</t>
  </si>
  <si>
    <t xml:space="preserve">Soriuska Mayora</t>
  </si>
  <si>
    <t xml:space="preserve">Capacidades de la red por cluster</t>
  </si>
  <si>
    <t xml:space="preserve">Personas</t>
  </si>
  <si>
    <t xml:space="preserve">% del total</t>
  </si>
  <si>
    <t xml:space="preserve">Presentaron idea</t>
  </si>
  <si>
    <t xml:space="preserve">TOTAL</t>
  </si>
  <si>
    <t xml:space="preserve">Huella de la diaspora (aproximada)</t>
  </si>
  <si>
    <t xml:space="preserve">Inferido de dominios de correo y codigos telefonicos. Verificar con el perfil de cada persona.</t>
  </si>
  <si>
    <t xml:space="preserve">Pais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</si>
</sst>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44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9AA3B2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4372"/>
        <bgColor rgb="FF1F2A44"/>
      </patternFill>
    </fill>
    <fill>
      <patternFill patternType="solid">
        <fgColor rgb="FFEEF2F8"/>
        <bgColor rgb="FFFFFFFF"/>
      </patternFill>
    </fill>
    <fill>
      <patternFill patternType="solid">
        <fgColor rgb="FFDCE3EF"/>
        <bgColor rgb="FFD0D7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4372"/>
          <bgColor rgb="FF000000"/>
        </patternFill>
      </fill>
    </dxf>
    <dxf>
      <fill>
        <patternFill patternType="solid">
          <fgColor rgb="FFEEF2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AA3B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8"/>
      <rgbColor rgb="FFDCE3E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AA3B2"/>
      <rgbColor rgb="FF003366"/>
      <rgbColor rgb="FF339966"/>
      <rgbColor rgb="FF003300"/>
      <rgbColor rgb="FF333300"/>
      <rgbColor rgb="FF993300"/>
      <rgbColor rgb="FF993366"/>
      <rgbColor rgb="FF2E4372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13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4" t="s">
        <v>9</v>
      </c>
      <c r="C5" s="5" t="s">
        <v>10</v>
      </c>
      <c r="D5" s="4" t="s">
        <v>11</v>
      </c>
      <c r="E5" s="4" t="s">
        <v>12</v>
      </c>
      <c r="F5" s="4" t="s">
        <v>13</v>
      </c>
      <c r="G5" s="6" t="s">
        <v>14</v>
      </c>
    </row>
    <row r="6" customFormat="false" ht="15" hidden="false" customHeight="false" outlineLevel="0" collapsed="false">
      <c r="A6" s="7" t="n">
        <v>2</v>
      </c>
      <c r="B6" s="7" t="s">
        <v>15</v>
      </c>
      <c r="C6" s="8" t="s">
        <v>16</v>
      </c>
      <c r="D6" s="7" t="s">
        <v>11</v>
      </c>
      <c r="E6" s="7" t="s">
        <v>17</v>
      </c>
      <c r="F6" s="7" t="s">
        <v>13</v>
      </c>
      <c r="G6" s="9" t="s">
        <v>14</v>
      </c>
    </row>
    <row r="7" customFormat="false" ht="15" hidden="false" customHeight="false" outlineLevel="0" collapsed="false">
      <c r="A7" s="4" t="n">
        <v>3</v>
      </c>
      <c r="B7" s="4" t="s">
        <v>18</v>
      </c>
      <c r="C7" s="5" t="s">
        <v>16</v>
      </c>
      <c r="D7" s="4" t="s">
        <v>11</v>
      </c>
      <c r="E7" s="4" t="s">
        <v>17</v>
      </c>
      <c r="F7" s="4" t="s">
        <v>13</v>
      </c>
      <c r="G7" s="10" t="s">
        <v>19</v>
      </c>
    </row>
    <row r="8" customFormat="false" ht="23.85" hidden="false" customHeight="false" outlineLevel="0" collapsed="false">
      <c r="A8" s="7" t="n">
        <v>4</v>
      </c>
      <c r="B8" s="7" t="s">
        <v>20</v>
      </c>
      <c r="C8" s="8" t="s">
        <v>21</v>
      </c>
      <c r="D8" s="7" t="s">
        <v>11</v>
      </c>
      <c r="E8" s="7" t="s">
        <v>22</v>
      </c>
      <c r="F8" s="7" t="s">
        <v>23</v>
      </c>
      <c r="G8" s="9" t="s">
        <v>14</v>
      </c>
    </row>
    <row r="9" customFormat="false" ht="15" hidden="false" customHeight="false" outlineLevel="0" collapsed="false">
      <c r="A9" s="4" t="n">
        <v>5</v>
      </c>
      <c r="B9" s="4" t="s">
        <v>24</v>
      </c>
      <c r="C9" s="5" t="s">
        <v>25</v>
      </c>
      <c r="D9" s="4" t="s">
        <v>11</v>
      </c>
      <c r="E9" s="4" t="s">
        <v>12</v>
      </c>
      <c r="F9" s="4" t="s">
        <v>13</v>
      </c>
      <c r="G9" s="6" t="s">
        <v>14</v>
      </c>
    </row>
    <row r="10" customFormat="false" ht="15" hidden="false" customHeight="false" outlineLevel="0" collapsed="false">
      <c r="A10" s="7" t="n">
        <v>6</v>
      </c>
      <c r="B10" s="7" t="s">
        <v>26</v>
      </c>
      <c r="C10" s="8" t="s">
        <v>27</v>
      </c>
      <c r="D10" s="7" t="s">
        <v>28</v>
      </c>
      <c r="E10" s="7" t="s">
        <v>29</v>
      </c>
      <c r="F10" s="7" t="s">
        <v>30</v>
      </c>
      <c r="G10" s="9" t="s">
        <v>14</v>
      </c>
    </row>
    <row r="11" customFormat="false" ht="15" hidden="false" customHeight="false" outlineLevel="0" collapsed="false">
      <c r="A11" s="4" t="n">
        <v>7</v>
      </c>
      <c r="B11" s="4" t="s">
        <v>31</v>
      </c>
      <c r="C11" s="5" t="s">
        <v>32</v>
      </c>
      <c r="D11" s="4" t="s">
        <v>28</v>
      </c>
      <c r="E11" s="4" t="s">
        <v>33</v>
      </c>
      <c r="F11" s="4" t="s">
        <v>34</v>
      </c>
      <c r="G11" s="6" t="s">
        <v>14</v>
      </c>
    </row>
    <row r="12" customFormat="false" ht="23.85" hidden="false" customHeight="false" outlineLevel="0" collapsed="false">
      <c r="A12" s="7" t="n">
        <v>8</v>
      </c>
      <c r="B12" s="7" t="s">
        <v>35</v>
      </c>
      <c r="C12" s="8" t="s">
        <v>36</v>
      </c>
      <c r="D12" s="7" t="s">
        <v>28</v>
      </c>
      <c r="E12" s="7" t="s">
        <v>33</v>
      </c>
      <c r="F12" s="7" t="s">
        <v>37</v>
      </c>
      <c r="G12" s="9" t="s">
        <v>14</v>
      </c>
    </row>
    <row r="13" customFormat="false" ht="15" hidden="false" customHeight="false" outlineLevel="0" collapsed="false">
      <c r="A13" s="4" t="n">
        <v>9</v>
      </c>
      <c r="B13" s="4" t="s">
        <v>38</v>
      </c>
      <c r="C13" s="5" t="s">
        <v>39</v>
      </c>
      <c r="D13" s="4" t="s">
        <v>40</v>
      </c>
      <c r="E13" s="4" t="s">
        <v>41</v>
      </c>
      <c r="F13" s="4" t="s">
        <v>42</v>
      </c>
      <c r="G13" s="6" t="s">
        <v>14</v>
      </c>
    </row>
    <row r="14" customFormat="false" ht="15" hidden="false" customHeight="false" outlineLevel="0" collapsed="false">
      <c r="A14" s="7" t="n">
        <v>10</v>
      </c>
      <c r="B14" s="7" t="s">
        <v>43</v>
      </c>
      <c r="C14" s="8" t="s">
        <v>44</v>
      </c>
      <c r="D14" s="7" t="s">
        <v>40</v>
      </c>
      <c r="E14" s="7" t="s">
        <v>17</v>
      </c>
      <c r="F14" s="7" t="s">
        <v>13</v>
      </c>
      <c r="G14" s="9" t="s">
        <v>14</v>
      </c>
    </row>
    <row r="15" customFormat="false" ht="15" hidden="false" customHeight="false" outlineLevel="0" collapsed="false">
      <c r="A15" s="4" t="n">
        <v>11</v>
      </c>
      <c r="B15" s="4" t="s">
        <v>45</v>
      </c>
      <c r="C15" s="5" t="s">
        <v>46</v>
      </c>
      <c r="D15" s="4" t="s">
        <v>40</v>
      </c>
      <c r="E15" s="4" t="s">
        <v>47</v>
      </c>
      <c r="F15" s="4" t="s">
        <v>13</v>
      </c>
      <c r="G15" s="6" t="s">
        <v>14</v>
      </c>
    </row>
    <row r="16" customFormat="false" ht="15" hidden="false" customHeight="false" outlineLevel="0" collapsed="false">
      <c r="A16" s="7" t="n">
        <v>12</v>
      </c>
      <c r="B16" s="7" t="s">
        <v>48</v>
      </c>
      <c r="C16" s="8" t="s">
        <v>44</v>
      </c>
      <c r="D16" s="7" t="s">
        <v>40</v>
      </c>
      <c r="E16" s="7" t="s">
        <v>17</v>
      </c>
      <c r="F16" s="7" t="s">
        <v>49</v>
      </c>
      <c r="G16" s="11" t="s">
        <v>19</v>
      </c>
    </row>
    <row r="17" customFormat="false" ht="15" hidden="false" customHeight="false" outlineLevel="0" collapsed="false">
      <c r="A17" s="4" t="n">
        <v>13</v>
      </c>
      <c r="B17" s="4" t="s">
        <v>50</v>
      </c>
      <c r="C17" s="5" t="s">
        <v>44</v>
      </c>
      <c r="D17" s="4" t="s">
        <v>40</v>
      </c>
      <c r="E17" s="4" t="s">
        <v>17</v>
      </c>
      <c r="F17" s="4" t="s">
        <v>49</v>
      </c>
      <c r="G17" s="6" t="s">
        <v>14</v>
      </c>
    </row>
    <row r="18" customFormat="false" ht="15" hidden="false" customHeight="false" outlineLevel="0" collapsed="false">
      <c r="A18" s="7" t="n">
        <v>14</v>
      </c>
      <c r="B18" s="7" t="s">
        <v>51</v>
      </c>
      <c r="C18" s="8" t="s">
        <v>44</v>
      </c>
      <c r="D18" s="7" t="s">
        <v>40</v>
      </c>
      <c r="E18" s="7" t="s">
        <v>17</v>
      </c>
      <c r="F18" s="7" t="s">
        <v>13</v>
      </c>
      <c r="G18" s="9" t="s">
        <v>14</v>
      </c>
    </row>
    <row r="19" customFormat="false" ht="15" hidden="false" customHeight="false" outlineLevel="0" collapsed="false">
      <c r="A19" s="4" t="n">
        <v>15</v>
      </c>
      <c r="B19" s="4" t="s">
        <v>52</v>
      </c>
      <c r="C19" s="5" t="s">
        <v>44</v>
      </c>
      <c r="D19" s="4" t="s">
        <v>40</v>
      </c>
      <c r="E19" s="4" t="s">
        <v>17</v>
      </c>
      <c r="F19" s="4" t="s">
        <v>13</v>
      </c>
      <c r="G19" s="6" t="s">
        <v>14</v>
      </c>
    </row>
    <row r="20" customFormat="false" ht="15" hidden="false" customHeight="false" outlineLevel="0" collapsed="false">
      <c r="A20" s="7" t="n">
        <v>16</v>
      </c>
      <c r="B20" s="7" t="s">
        <v>53</v>
      </c>
      <c r="C20" s="8" t="s">
        <v>54</v>
      </c>
      <c r="D20" s="7" t="s">
        <v>40</v>
      </c>
      <c r="E20" s="7" t="s">
        <v>17</v>
      </c>
      <c r="F20" s="7" t="s">
        <v>49</v>
      </c>
      <c r="G20" s="9" t="s">
        <v>14</v>
      </c>
    </row>
    <row r="21" customFormat="false" ht="15" hidden="false" customHeight="false" outlineLevel="0" collapsed="false">
      <c r="A21" s="4" t="n">
        <v>17</v>
      </c>
      <c r="B21" s="4" t="s">
        <v>55</v>
      </c>
      <c r="C21" s="5" t="s">
        <v>56</v>
      </c>
      <c r="D21" s="4" t="s">
        <v>40</v>
      </c>
      <c r="E21" s="4" t="s">
        <v>57</v>
      </c>
      <c r="F21" s="4" t="s">
        <v>13</v>
      </c>
      <c r="G21" s="6" t="s">
        <v>14</v>
      </c>
    </row>
    <row r="22" customFormat="false" ht="23.85" hidden="false" customHeight="false" outlineLevel="0" collapsed="false">
      <c r="A22" s="7" t="n">
        <v>18</v>
      </c>
      <c r="B22" s="7" t="s">
        <v>58</v>
      </c>
      <c r="C22" s="8" t="s">
        <v>59</v>
      </c>
      <c r="D22" s="7" t="s">
        <v>40</v>
      </c>
      <c r="E22" s="7" t="s">
        <v>17</v>
      </c>
      <c r="F22" s="7" t="s">
        <v>13</v>
      </c>
      <c r="G22" s="9" t="s">
        <v>14</v>
      </c>
    </row>
    <row r="23" customFormat="false" ht="15" hidden="false" customHeight="false" outlineLevel="0" collapsed="false">
      <c r="A23" s="4" t="n">
        <v>19</v>
      </c>
      <c r="B23" s="4" t="s">
        <v>60</v>
      </c>
      <c r="C23" s="5" t="s">
        <v>61</v>
      </c>
      <c r="D23" s="4" t="s">
        <v>62</v>
      </c>
      <c r="E23" s="4" t="s">
        <v>17</v>
      </c>
      <c r="F23" s="4" t="s">
        <v>63</v>
      </c>
      <c r="G23" s="10" t="s">
        <v>19</v>
      </c>
    </row>
    <row r="24" customFormat="false" ht="15" hidden="false" customHeight="false" outlineLevel="0" collapsed="false">
      <c r="A24" s="7" t="n">
        <v>20</v>
      </c>
      <c r="B24" s="7" t="s">
        <v>64</v>
      </c>
      <c r="C24" s="8" t="s">
        <v>65</v>
      </c>
      <c r="D24" s="7" t="s">
        <v>62</v>
      </c>
      <c r="E24" s="7" t="s">
        <v>17</v>
      </c>
      <c r="F24" s="7" t="s">
        <v>13</v>
      </c>
      <c r="G24" s="9" t="s">
        <v>14</v>
      </c>
    </row>
    <row r="25" customFormat="false" ht="15" hidden="false" customHeight="false" outlineLevel="0" collapsed="false">
      <c r="A25" s="4" t="n">
        <v>21</v>
      </c>
      <c r="B25" s="4" t="s">
        <v>66</v>
      </c>
      <c r="C25" s="5" t="s">
        <v>67</v>
      </c>
      <c r="D25" s="4" t="s">
        <v>62</v>
      </c>
      <c r="E25" s="4" t="s">
        <v>17</v>
      </c>
      <c r="F25" s="4" t="s">
        <v>63</v>
      </c>
      <c r="G25" s="6" t="s">
        <v>14</v>
      </c>
    </row>
    <row r="26" customFormat="false" ht="15" hidden="false" customHeight="false" outlineLevel="0" collapsed="false">
      <c r="A26" s="7" t="n">
        <v>22</v>
      </c>
      <c r="B26" s="7" t="s">
        <v>68</v>
      </c>
      <c r="C26" s="8" t="s">
        <v>69</v>
      </c>
      <c r="D26" s="7" t="s">
        <v>70</v>
      </c>
      <c r="E26" s="7" t="s">
        <v>71</v>
      </c>
      <c r="F26" s="7" t="s">
        <v>72</v>
      </c>
      <c r="G26" s="9" t="s">
        <v>14</v>
      </c>
    </row>
    <row r="27" customFormat="false" ht="15" hidden="false" customHeight="false" outlineLevel="0" collapsed="false">
      <c r="A27" s="4" t="n">
        <v>23</v>
      </c>
      <c r="B27" s="4" t="s">
        <v>73</v>
      </c>
      <c r="C27" s="5" t="s">
        <v>74</v>
      </c>
      <c r="D27" s="4" t="s">
        <v>74</v>
      </c>
      <c r="E27" s="4" t="s">
        <v>17</v>
      </c>
      <c r="F27" s="4" t="s">
        <v>13</v>
      </c>
      <c r="G27" s="6" t="s">
        <v>14</v>
      </c>
    </row>
    <row r="28" customFormat="false" ht="15" hidden="false" customHeight="false" outlineLevel="0" collapsed="false">
      <c r="A28" s="7" t="n">
        <v>24</v>
      </c>
      <c r="B28" s="7" t="s">
        <v>75</v>
      </c>
      <c r="C28" s="8" t="s">
        <v>74</v>
      </c>
      <c r="D28" s="7" t="s">
        <v>74</v>
      </c>
      <c r="E28" s="7" t="s">
        <v>17</v>
      </c>
      <c r="F28" s="7" t="s">
        <v>13</v>
      </c>
      <c r="G28" s="11" t="s">
        <v>19</v>
      </c>
    </row>
    <row r="29" customFormat="false" ht="15" hidden="false" customHeight="false" outlineLevel="0" collapsed="false">
      <c r="A29" s="4" t="n">
        <v>25</v>
      </c>
      <c r="B29" s="4" t="s">
        <v>76</v>
      </c>
      <c r="C29" s="5" t="s">
        <v>77</v>
      </c>
      <c r="D29" s="4" t="s">
        <v>77</v>
      </c>
      <c r="E29" s="4" t="s">
        <v>78</v>
      </c>
      <c r="F29" s="4" t="s">
        <v>13</v>
      </c>
      <c r="G29" s="6" t="s">
        <v>14</v>
      </c>
    </row>
    <row r="30" customFormat="false" ht="15" hidden="false" customHeight="false" outlineLevel="0" collapsed="false">
      <c r="A30" s="7" t="n">
        <v>26</v>
      </c>
      <c r="B30" s="7" t="s">
        <v>79</v>
      </c>
      <c r="C30" s="8" t="s">
        <v>80</v>
      </c>
      <c r="D30" s="7" t="s">
        <v>81</v>
      </c>
      <c r="E30" s="7" t="s">
        <v>17</v>
      </c>
      <c r="F30" s="7" t="s">
        <v>13</v>
      </c>
      <c r="G30" s="11" t="s">
        <v>19</v>
      </c>
    </row>
    <row r="31" customFormat="false" ht="15" hidden="false" customHeight="false" outlineLevel="0" collapsed="false">
      <c r="A31" s="4" t="n">
        <v>27</v>
      </c>
      <c r="B31" s="4" t="s">
        <v>82</v>
      </c>
      <c r="C31" s="5" t="s">
        <v>83</v>
      </c>
      <c r="D31" s="4" t="s">
        <v>81</v>
      </c>
      <c r="E31" s="4" t="s">
        <v>17</v>
      </c>
      <c r="F31" s="4" t="s">
        <v>13</v>
      </c>
      <c r="G31" s="6" t="s">
        <v>14</v>
      </c>
    </row>
    <row r="32" customFormat="false" ht="15" hidden="false" customHeight="false" outlineLevel="0" collapsed="false">
      <c r="A32" s="7" t="n">
        <v>28</v>
      </c>
      <c r="B32" s="7" t="s">
        <v>84</v>
      </c>
      <c r="C32" s="8" t="s">
        <v>85</v>
      </c>
      <c r="D32" s="7" t="s">
        <v>81</v>
      </c>
      <c r="E32" s="7" t="s">
        <v>86</v>
      </c>
      <c r="F32" s="7" t="s">
        <v>87</v>
      </c>
      <c r="G32" s="9" t="s">
        <v>14</v>
      </c>
    </row>
    <row r="33" customFormat="false" ht="15" hidden="false" customHeight="false" outlineLevel="0" collapsed="false">
      <c r="A33" s="4" t="n">
        <v>29</v>
      </c>
      <c r="B33" s="4" t="s">
        <v>88</v>
      </c>
      <c r="C33" s="5" t="s">
        <v>89</v>
      </c>
      <c r="D33" s="4" t="s">
        <v>81</v>
      </c>
      <c r="E33" s="4" t="s">
        <v>41</v>
      </c>
      <c r="F33" s="4" t="s">
        <v>13</v>
      </c>
      <c r="G33" s="6" t="s">
        <v>14</v>
      </c>
    </row>
    <row r="34" customFormat="false" ht="15" hidden="false" customHeight="false" outlineLevel="0" collapsed="false">
      <c r="A34" s="7" t="n">
        <v>30</v>
      </c>
      <c r="B34" s="7" t="s">
        <v>90</v>
      </c>
      <c r="C34" s="8" t="s">
        <v>91</v>
      </c>
      <c r="D34" s="7" t="s">
        <v>81</v>
      </c>
      <c r="E34" s="7" t="s">
        <v>17</v>
      </c>
      <c r="F34" s="7" t="s">
        <v>13</v>
      </c>
      <c r="G34" s="9" t="s">
        <v>14</v>
      </c>
    </row>
    <row r="35" customFormat="false" ht="15" hidden="false" customHeight="false" outlineLevel="0" collapsed="false">
      <c r="A35" s="4" t="n">
        <v>31</v>
      </c>
      <c r="B35" s="4" t="s">
        <v>92</v>
      </c>
      <c r="C35" s="5" t="s">
        <v>93</v>
      </c>
      <c r="D35" s="4" t="s">
        <v>81</v>
      </c>
      <c r="E35" s="4" t="s">
        <v>17</v>
      </c>
      <c r="F35" s="4" t="s">
        <v>13</v>
      </c>
      <c r="G35" s="6" t="s">
        <v>14</v>
      </c>
    </row>
    <row r="36" customFormat="false" ht="15" hidden="false" customHeight="false" outlineLevel="0" collapsed="false">
      <c r="A36" s="7" t="n">
        <v>32</v>
      </c>
      <c r="B36" s="7" t="s">
        <v>94</v>
      </c>
      <c r="C36" s="8" t="s">
        <v>95</v>
      </c>
      <c r="D36" s="7" t="s">
        <v>81</v>
      </c>
      <c r="E36" s="7" t="s">
        <v>29</v>
      </c>
      <c r="F36" s="7" t="s">
        <v>13</v>
      </c>
      <c r="G36" s="9" t="s">
        <v>14</v>
      </c>
    </row>
    <row r="37" customFormat="false" ht="23.85" hidden="false" customHeight="false" outlineLevel="0" collapsed="false">
      <c r="A37" s="4" t="n">
        <v>33</v>
      </c>
      <c r="B37" s="4" t="s">
        <v>96</v>
      </c>
      <c r="C37" s="5" t="s">
        <v>97</v>
      </c>
      <c r="D37" s="4" t="s">
        <v>81</v>
      </c>
      <c r="E37" s="4" t="s">
        <v>33</v>
      </c>
      <c r="F37" s="4" t="s">
        <v>13</v>
      </c>
      <c r="G37" s="6" t="s">
        <v>14</v>
      </c>
    </row>
    <row r="38" customFormat="false" ht="15" hidden="false" customHeight="false" outlineLevel="0" collapsed="false">
      <c r="A38" s="7" t="n">
        <v>34</v>
      </c>
      <c r="B38" s="7" t="s">
        <v>98</v>
      </c>
      <c r="C38" s="8" t="s">
        <v>99</v>
      </c>
      <c r="D38" s="7" t="s">
        <v>81</v>
      </c>
      <c r="E38" s="7" t="s">
        <v>17</v>
      </c>
      <c r="F38" s="7" t="s">
        <v>13</v>
      </c>
      <c r="G38" s="9" t="s">
        <v>14</v>
      </c>
    </row>
    <row r="39" customFormat="false" ht="15" hidden="false" customHeight="false" outlineLevel="0" collapsed="false">
      <c r="A39" s="4" t="n">
        <v>35</v>
      </c>
      <c r="B39" s="4" t="s">
        <v>100</v>
      </c>
      <c r="C39" s="5" t="s">
        <v>101</v>
      </c>
      <c r="D39" s="4" t="s">
        <v>81</v>
      </c>
      <c r="E39" s="4" t="s">
        <v>17</v>
      </c>
      <c r="F39" s="4" t="s">
        <v>13</v>
      </c>
      <c r="G39" s="6" t="s">
        <v>14</v>
      </c>
    </row>
    <row r="40" customFormat="false" ht="15" hidden="false" customHeight="false" outlineLevel="0" collapsed="false">
      <c r="A40" s="7" t="n">
        <v>36</v>
      </c>
      <c r="B40" s="7" t="s">
        <v>102</v>
      </c>
      <c r="C40" s="8" t="s">
        <v>103</v>
      </c>
      <c r="D40" s="7" t="s">
        <v>81</v>
      </c>
      <c r="E40" s="7" t="s">
        <v>104</v>
      </c>
      <c r="F40" s="7" t="s">
        <v>105</v>
      </c>
      <c r="G40" s="9" t="s">
        <v>14</v>
      </c>
    </row>
    <row r="41" customFormat="false" ht="15" hidden="false" customHeight="false" outlineLevel="0" collapsed="false">
      <c r="A41" s="4" t="n">
        <v>37</v>
      </c>
      <c r="B41" s="4" t="s">
        <v>106</v>
      </c>
      <c r="C41" s="5" t="s">
        <v>107</v>
      </c>
      <c r="D41" s="4" t="s">
        <v>81</v>
      </c>
      <c r="E41" s="4" t="s">
        <v>41</v>
      </c>
      <c r="F41" s="4" t="s">
        <v>108</v>
      </c>
      <c r="G41" s="6" t="s">
        <v>14</v>
      </c>
    </row>
    <row r="42" customFormat="false" ht="15" hidden="false" customHeight="false" outlineLevel="0" collapsed="false">
      <c r="A42" s="7" t="n">
        <v>38</v>
      </c>
      <c r="B42" s="7" t="s">
        <v>109</v>
      </c>
      <c r="C42" s="8" t="s">
        <v>110</v>
      </c>
      <c r="D42" s="7" t="s">
        <v>81</v>
      </c>
      <c r="E42" s="7" t="s">
        <v>22</v>
      </c>
      <c r="F42" s="7" t="s">
        <v>111</v>
      </c>
      <c r="G42" s="11" t="s">
        <v>19</v>
      </c>
    </row>
    <row r="43" customFormat="false" ht="15" hidden="false" customHeight="false" outlineLevel="0" collapsed="false">
      <c r="A43" s="4" t="n">
        <v>39</v>
      </c>
      <c r="B43" s="4" t="s">
        <v>112</v>
      </c>
      <c r="C43" s="5" t="s">
        <v>113</v>
      </c>
      <c r="D43" s="4" t="s">
        <v>81</v>
      </c>
      <c r="E43" s="4" t="s">
        <v>17</v>
      </c>
      <c r="F43" s="4" t="s">
        <v>114</v>
      </c>
      <c r="G43" s="6" t="s">
        <v>14</v>
      </c>
    </row>
    <row r="44" customFormat="false" ht="15" hidden="false" customHeight="false" outlineLevel="0" collapsed="false">
      <c r="A44" s="7" t="n">
        <v>40</v>
      </c>
      <c r="B44" s="7" t="s">
        <v>115</v>
      </c>
      <c r="C44" s="8" t="s">
        <v>116</v>
      </c>
      <c r="D44" s="7" t="s">
        <v>117</v>
      </c>
      <c r="E44" s="7" t="s">
        <v>17</v>
      </c>
      <c r="F44" s="7" t="s">
        <v>13</v>
      </c>
      <c r="G44" s="9" t="s">
        <v>14</v>
      </c>
    </row>
    <row r="45" customFormat="false" ht="15" hidden="false" customHeight="false" outlineLevel="0" collapsed="false">
      <c r="A45" s="4" t="n">
        <v>41</v>
      </c>
      <c r="B45" s="4" t="s">
        <v>118</v>
      </c>
      <c r="C45" s="5" t="s">
        <v>119</v>
      </c>
      <c r="D45" s="4" t="s">
        <v>117</v>
      </c>
      <c r="E45" s="4" t="s">
        <v>17</v>
      </c>
      <c r="F45" s="4" t="s">
        <v>13</v>
      </c>
      <c r="G45" s="6" t="s">
        <v>14</v>
      </c>
    </row>
    <row r="46" customFormat="false" ht="15" hidden="false" customHeight="false" outlineLevel="0" collapsed="false">
      <c r="A46" s="7" t="n">
        <v>42</v>
      </c>
      <c r="B46" s="7" t="s">
        <v>120</v>
      </c>
      <c r="C46" s="8" t="s">
        <v>121</v>
      </c>
      <c r="D46" s="7" t="s">
        <v>117</v>
      </c>
      <c r="E46" s="7" t="s">
        <v>33</v>
      </c>
      <c r="F46" s="7" t="s">
        <v>122</v>
      </c>
      <c r="G46" s="11" t="s">
        <v>19</v>
      </c>
    </row>
    <row r="47" customFormat="false" ht="15" hidden="false" customHeight="false" outlineLevel="0" collapsed="false">
      <c r="A47" s="4" t="n">
        <v>43</v>
      </c>
      <c r="B47" s="4" t="s">
        <v>123</v>
      </c>
      <c r="C47" s="5" t="s">
        <v>124</v>
      </c>
      <c r="D47" s="4" t="s">
        <v>117</v>
      </c>
      <c r="E47" s="4" t="s">
        <v>125</v>
      </c>
      <c r="F47" s="4" t="s">
        <v>13</v>
      </c>
      <c r="G47" s="10" t="s">
        <v>19</v>
      </c>
    </row>
    <row r="48" customFormat="false" ht="15" hidden="false" customHeight="false" outlineLevel="0" collapsed="false">
      <c r="A48" s="7" t="n">
        <v>44</v>
      </c>
      <c r="B48" s="7" t="s">
        <v>126</v>
      </c>
      <c r="C48" s="8" t="s">
        <v>127</v>
      </c>
      <c r="D48" s="7" t="s">
        <v>117</v>
      </c>
      <c r="E48" s="7" t="s">
        <v>17</v>
      </c>
      <c r="F48" s="7" t="s">
        <v>13</v>
      </c>
      <c r="G48" s="9" t="s">
        <v>14</v>
      </c>
    </row>
    <row r="49" customFormat="false" ht="15" hidden="false" customHeight="false" outlineLevel="0" collapsed="false">
      <c r="A49" s="4" t="n">
        <v>45</v>
      </c>
      <c r="B49" s="4" t="s">
        <v>128</v>
      </c>
      <c r="C49" s="5" t="s">
        <v>129</v>
      </c>
      <c r="D49" s="4" t="s">
        <v>117</v>
      </c>
      <c r="E49" s="4" t="s">
        <v>33</v>
      </c>
      <c r="F49" s="4" t="s">
        <v>13</v>
      </c>
      <c r="G49" s="6" t="s">
        <v>14</v>
      </c>
    </row>
    <row r="50" customFormat="false" ht="23.85" hidden="false" customHeight="false" outlineLevel="0" collapsed="false">
      <c r="A50" s="7" t="n">
        <v>46</v>
      </c>
      <c r="B50" s="7" t="s">
        <v>130</v>
      </c>
      <c r="C50" s="8" t="s">
        <v>131</v>
      </c>
      <c r="D50" s="7" t="s">
        <v>117</v>
      </c>
      <c r="E50" s="7" t="s">
        <v>86</v>
      </c>
      <c r="F50" s="7" t="s">
        <v>132</v>
      </c>
      <c r="G50" s="9" t="s">
        <v>14</v>
      </c>
    </row>
    <row r="51" customFormat="false" ht="15" hidden="false" customHeight="false" outlineLevel="0" collapsed="false">
      <c r="A51" s="4" t="n">
        <v>47</v>
      </c>
      <c r="B51" s="4" t="s">
        <v>133</v>
      </c>
      <c r="C51" s="5" t="s">
        <v>134</v>
      </c>
      <c r="D51" s="4" t="s">
        <v>117</v>
      </c>
      <c r="E51" s="4" t="s">
        <v>135</v>
      </c>
      <c r="F51" s="4" t="s">
        <v>13</v>
      </c>
      <c r="G51" s="6" t="s">
        <v>14</v>
      </c>
    </row>
    <row r="52" customFormat="false" ht="15" hidden="false" customHeight="false" outlineLevel="0" collapsed="false">
      <c r="A52" s="7" t="n">
        <v>48</v>
      </c>
      <c r="B52" s="7" t="s">
        <v>136</v>
      </c>
      <c r="C52" s="8" t="s">
        <v>116</v>
      </c>
      <c r="D52" s="7" t="s">
        <v>117</v>
      </c>
      <c r="E52" s="7" t="s">
        <v>17</v>
      </c>
      <c r="F52" s="7" t="s">
        <v>13</v>
      </c>
      <c r="G52" s="9" t="s">
        <v>14</v>
      </c>
    </row>
  </sheetData>
  <autoFilter ref="A4:G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2" t="s">
        <v>137</v>
      </c>
    </row>
    <row r="3" customFormat="false" ht="26.85" hidden="false" customHeight="false" outlineLevel="0" collapsed="false">
      <c r="A3" s="3" t="s">
        <v>5</v>
      </c>
      <c r="B3" s="3" t="s">
        <v>138</v>
      </c>
      <c r="C3" s="3" t="s">
        <v>139</v>
      </c>
      <c r="D3" s="3" t="s">
        <v>140</v>
      </c>
    </row>
    <row r="4" customFormat="false" ht="15" hidden="false" customHeight="false" outlineLevel="0" collapsed="false">
      <c r="A4" s="13" t="s">
        <v>11</v>
      </c>
      <c r="B4" s="14" t="n">
        <f aca="false">COUNTIF(Inventario!$D$5:$D$52,A4)</f>
        <v>5</v>
      </c>
      <c r="C4" s="15" t="n">
        <f aca="false">B4/$B$13</f>
        <v>0.104166666666667</v>
      </c>
      <c r="D4" s="14" t="n">
        <f aca="false">COUNTIFS(Inventario!$D$5:$D$52,A4,Inventario!$G$5:$G$52,"Si")</f>
        <v>4</v>
      </c>
    </row>
    <row r="5" customFormat="false" ht="15" hidden="false" customHeight="false" outlineLevel="0" collapsed="false">
      <c r="A5" s="16" t="s">
        <v>28</v>
      </c>
      <c r="B5" s="17" t="n">
        <f aca="false">COUNTIF(Inventario!$D$5:$D$52,A5)</f>
        <v>3</v>
      </c>
      <c r="C5" s="18" t="n">
        <f aca="false">B5/$B$13</f>
        <v>0.0625</v>
      </c>
      <c r="D5" s="17" t="n">
        <f aca="false">COUNTIFS(Inventario!$D$5:$D$52,A5,Inventario!$G$5:$G$52,"Si")</f>
        <v>3</v>
      </c>
    </row>
    <row r="6" customFormat="false" ht="15" hidden="false" customHeight="false" outlineLevel="0" collapsed="false">
      <c r="A6" s="13" t="s">
        <v>40</v>
      </c>
      <c r="B6" s="14" t="n">
        <f aca="false">COUNTIF(Inventario!$D$5:$D$52,A6)</f>
        <v>10</v>
      </c>
      <c r="C6" s="15" t="n">
        <f aca="false">B6/$B$13</f>
        <v>0.208333333333333</v>
      </c>
      <c r="D6" s="14" t="n">
        <f aca="false">COUNTIFS(Inventario!$D$5:$D$52,A6,Inventario!$G$5:$G$52,"Si")</f>
        <v>9</v>
      </c>
    </row>
    <row r="7" customFormat="false" ht="15" hidden="false" customHeight="false" outlineLevel="0" collapsed="false">
      <c r="A7" s="16" t="s">
        <v>62</v>
      </c>
      <c r="B7" s="17" t="n">
        <f aca="false">COUNTIF(Inventario!$D$5:$D$52,A7)</f>
        <v>3</v>
      </c>
      <c r="C7" s="18" t="n">
        <f aca="false">B7/$B$13</f>
        <v>0.0625</v>
      </c>
      <c r="D7" s="17" t="n">
        <f aca="false">COUNTIFS(Inventario!$D$5:$D$52,A7,Inventario!$G$5:$G$52,"Si")</f>
        <v>2</v>
      </c>
    </row>
    <row r="8" customFormat="false" ht="15" hidden="false" customHeight="false" outlineLevel="0" collapsed="false">
      <c r="A8" s="13" t="s">
        <v>70</v>
      </c>
      <c r="B8" s="14" t="n">
        <f aca="false">COUNTIF(Inventario!$D$5:$D$52,A8)</f>
        <v>1</v>
      </c>
      <c r="C8" s="15" t="n">
        <f aca="false">B8/$B$13</f>
        <v>0.0208333333333333</v>
      </c>
      <c r="D8" s="14" t="n">
        <f aca="false">COUNTIFS(Inventario!$D$5:$D$52,A8,Inventario!$G$5:$G$52,"Si")</f>
        <v>1</v>
      </c>
    </row>
    <row r="9" customFormat="false" ht="15" hidden="false" customHeight="false" outlineLevel="0" collapsed="false">
      <c r="A9" s="16" t="s">
        <v>74</v>
      </c>
      <c r="B9" s="17" t="n">
        <f aca="false">COUNTIF(Inventario!$D$5:$D$52,A9)</f>
        <v>2</v>
      </c>
      <c r="C9" s="18" t="n">
        <f aca="false">B9/$B$13</f>
        <v>0.0416666666666667</v>
      </c>
      <c r="D9" s="17" t="n">
        <f aca="false">COUNTIFS(Inventario!$D$5:$D$52,A9,Inventario!$G$5:$G$52,"Si")</f>
        <v>1</v>
      </c>
    </row>
    <row r="10" customFormat="false" ht="15" hidden="false" customHeight="false" outlineLevel="0" collapsed="false">
      <c r="A10" s="13" t="s">
        <v>77</v>
      </c>
      <c r="B10" s="14" t="n">
        <f aca="false">COUNTIF(Inventario!$D$5:$D$52,A10)</f>
        <v>1</v>
      </c>
      <c r="C10" s="15" t="n">
        <f aca="false">B10/$B$13</f>
        <v>0.0208333333333333</v>
      </c>
      <c r="D10" s="14" t="n">
        <f aca="false">COUNTIFS(Inventario!$D$5:$D$52,A10,Inventario!$G$5:$G$52,"Si")</f>
        <v>1</v>
      </c>
    </row>
    <row r="11" customFormat="false" ht="15" hidden="false" customHeight="false" outlineLevel="0" collapsed="false">
      <c r="A11" s="16" t="s">
        <v>81</v>
      </c>
      <c r="B11" s="17" t="n">
        <f aca="false">COUNTIF(Inventario!$D$5:$D$52,A11)</f>
        <v>14</v>
      </c>
      <c r="C11" s="18" t="n">
        <f aca="false">B11/$B$13</f>
        <v>0.291666666666667</v>
      </c>
      <c r="D11" s="17" t="n">
        <f aca="false">COUNTIFS(Inventario!$D$5:$D$52,A11,Inventario!$G$5:$G$52,"Si")</f>
        <v>12</v>
      </c>
    </row>
    <row r="12" customFormat="false" ht="15" hidden="false" customHeight="false" outlineLevel="0" collapsed="false">
      <c r="A12" s="13" t="s">
        <v>117</v>
      </c>
      <c r="B12" s="14" t="n">
        <f aca="false">COUNTIF(Inventario!$D$5:$D$52,A12)</f>
        <v>9</v>
      </c>
      <c r="C12" s="15" t="n">
        <f aca="false">B12/$B$13</f>
        <v>0.1875</v>
      </c>
      <c r="D12" s="14" t="n">
        <f aca="false">COUNTIFS(Inventario!$D$5:$D$52,A12,Inventario!$G$5:$G$52,"Si")</f>
        <v>7</v>
      </c>
    </row>
    <row r="13" customFormat="false" ht="15" hidden="false" customHeight="false" outlineLevel="0" collapsed="false">
      <c r="A13" s="19" t="s">
        <v>141</v>
      </c>
      <c r="B13" s="20" t="n">
        <f aca="false">SUM(B4:B12)</f>
        <v>48</v>
      </c>
      <c r="C13" s="21" t="n">
        <f aca="false">B13/B13</f>
        <v>1</v>
      </c>
      <c r="D13" s="20" t="n">
        <f aca="false">SUM(D4:D12)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12" t="s">
        <v>142</v>
      </c>
    </row>
    <row r="2" customFormat="false" ht="15" hidden="false" customHeight="false" outlineLevel="0" collapsed="false">
      <c r="A2" s="2" t="s">
        <v>143</v>
      </c>
    </row>
    <row r="4" customFormat="false" ht="15" hidden="false" customHeight="false" outlineLevel="0" collapsed="false">
      <c r="A4" s="3" t="s">
        <v>144</v>
      </c>
      <c r="B4" s="3" t="s">
        <v>138</v>
      </c>
      <c r="C4" s="3" t="s">
        <v>139</v>
      </c>
    </row>
    <row r="5" customFormat="false" ht="15" hidden="false" customHeight="false" outlineLevel="0" collapsed="false">
      <c r="A5" s="13" t="s">
        <v>17</v>
      </c>
      <c r="B5" s="14" t="n">
        <f aca="false">COUNTIF(Inventario!$E$5:$E$52,A5)</f>
        <v>25</v>
      </c>
      <c r="C5" s="15" t="n">
        <f aca="false">B5/$B$19</f>
        <v>0.520833333333333</v>
      </c>
    </row>
    <row r="6" customFormat="false" ht="15" hidden="false" customHeight="false" outlineLevel="0" collapsed="false">
      <c r="A6" s="16" t="s">
        <v>33</v>
      </c>
      <c r="B6" s="17" t="n">
        <f aca="false">COUNTIF(Inventario!$E$5:$E$52,A6)</f>
        <v>5</v>
      </c>
      <c r="C6" s="18" t="n">
        <f aca="false">B6/$B$19</f>
        <v>0.104166666666667</v>
      </c>
    </row>
    <row r="7" customFormat="false" ht="15" hidden="false" customHeight="false" outlineLevel="0" collapsed="false">
      <c r="A7" s="13" t="s">
        <v>41</v>
      </c>
      <c r="B7" s="14" t="n">
        <f aca="false">COUNTIF(Inventario!$E$5:$E$52,A7)</f>
        <v>3</v>
      </c>
      <c r="C7" s="15" t="n">
        <f aca="false">B7/$B$19</f>
        <v>0.0625</v>
      </c>
    </row>
    <row r="8" customFormat="false" ht="15" hidden="false" customHeight="false" outlineLevel="0" collapsed="false">
      <c r="A8" s="16" t="s">
        <v>29</v>
      </c>
      <c r="B8" s="17" t="n">
        <f aca="false">COUNTIF(Inventario!$E$5:$E$52,A8)</f>
        <v>2</v>
      </c>
      <c r="C8" s="18" t="n">
        <f aca="false">B8/$B$19</f>
        <v>0.0416666666666667</v>
      </c>
    </row>
    <row r="9" customFormat="false" ht="15" hidden="false" customHeight="false" outlineLevel="0" collapsed="false">
      <c r="A9" s="13" t="s">
        <v>12</v>
      </c>
      <c r="B9" s="14" t="n">
        <f aca="false">COUNTIF(Inventario!$E$5:$E$52,A9)</f>
        <v>2</v>
      </c>
      <c r="C9" s="15" t="n">
        <f aca="false">B9/$B$19</f>
        <v>0.0416666666666667</v>
      </c>
    </row>
    <row r="10" customFormat="false" ht="15" hidden="false" customHeight="false" outlineLevel="0" collapsed="false">
      <c r="A10" s="16" t="s">
        <v>22</v>
      </c>
      <c r="B10" s="17" t="n">
        <f aca="false">COUNTIF(Inventario!$E$5:$E$52,A10)</f>
        <v>2</v>
      </c>
      <c r="C10" s="18" t="n">
        <f aca="false">B10/$B$19</f>
        <v>0.0416666666666667</v>
      </c>
    </row>
    <row r="11" customFormat="false" ht="15" hidden="false" customHeight="false" outlineLevel="0" collapsed="false">
      <c r="A11" s="13" t="s">
        <v>86</v>
      </c>
      <c r="B11" s="14" t="n">
        <f aca="false">COUNTIF(Inventario!$E$5:$E$52,A11)</f>
        <v>2</v>
      </c>
      <c r="C11" s="15" t="n">
        <f aca="false">B11/$B$19</f>
        <v>0.0416666666666667</v>
      </c>
    </row>
    <row r="12" customFormat="false" ht="15" hidden="false" customHeight="false" outlineLevel="0" collapsed="false">
      <c r="A12" s="16" t="s">
        <v>57</v>
      </c>
      <c r="B12" s="17" t="n">
        <f aca="false">COUNTIF(Inventario!$E$5:$E$52,A12)</f>
        <v>1</v>
      </c>
      <c r="C12" s="18" t="n">
        <f aca="false">B12/$B$19</f>
        <v>0.0208333333333333</v>
      </c>
    </row>
    <row r="13" customFormat="false" ht="15" hidden="false" customHeight="false" outlineLevel="0" collapsed="false">
      <c r="A13" s="13" t="s">
        <v>78</v>
      </c>
      <c r="B13" s="14" t="n">
        <f aca="false">COUNTIF(Inventario!$E$5:$E$52,A13)</f>
        <v>1</v>
      </c>
      <c r="C13" s="15" t="n">
        <f aca="false">B13/$B$19</f>
        <v>0.0208333333333333</v>
      </c>
    </row>
    <row r="14" customFormat="false" ht="15" hidden="false" customHeight="false" outlineLevel="0" collapsed="false">
      <c r="A14" s="16" t="s">
        <v>71</v>
      </c>
      <c r="B14" s="17" t="n">
        <f aca="false">COUNTIF(Inventario!$E$5:$E$52,A14)</f>
        <v>1</v>
      </c>
      <c r="C14" s="18" t="n">
        <f aca="false">B14/$B$19</f>
        <v>0.0208333333333333</v>
      </c>
    </row>
    <row r="15" customFormat="false" ht="15" hidden="false" customHeight="false" outlineLevel="0" collapsed="false">
      <c r="A15" s="13" t="s">
        <v>47</v>
      </c>
      <c r="B15" s="14" t="n">
        <f aca="false">COUNTIF(Inventario!$E$5:$E$52,A15)</f>
        <v>1</v>
      </c>
      <c r="C15" s="15" t="n">
        <f aca="false">B15/$B$19</f>
        <v>0.0208333333333333</v>
      </c>
    </row>
    <row r="16" customFormat="false" ht="15" hidden="false" customHeight="false" outlineLevel="0" collapsed="false">
      <c r="A16" s="16" t="s">
        <v>135</v>
      </c>
      <c r="B16" s="17" t="n">
        <f aca="false">COUNTIF(Inventario!$E$5:$E$52,A16)</f>
        <v>1</v>
      </c>
      <c r="C16" s="18" t="n">
        <f aca="false">B16/$B$19</f>
        <v>0.0208333333333333</v>
      </c>
    </row>
    <row r="17" customFormat="false" ht="15" hidden="false" customHeight="false" outlineLevel="0" collapsed="false">
      <c r="A17" s="13" t="s">
        <v>104</v>
      </c>
      <c r="B17" s="14" t="n">
        <f aca="false">COUNTIF(Inventario!$E$5:$E$52,A17)</f>
        <v>1</v>
      </c>
      <c r="C17" s="15" t="n">
        <f aca="false">B17/$B$19</f>
        <v>0.0208333333333333</v>
      </c>
    </row>
    <row r="18" customFormat="false" ht="15" hidden="false" customHeight="false" outlineLevel="0" collapsed="false">
      <c r="A18" s="16" t="s">
        <v>125</v>
      </c>
      <c r="B18" s="17" t="n">
        <f aca="false">COUNTIF(Inventario!$E$5:$E$52,A18)</f>
        <v>1</v>
      </c>
      <c r="C18" s="18" t="n">
        <f aca="false">B18/$B$19</f>
        <v>0.0208333333333333</v>
      </c>
    </row>
    <row r="19" customFormat="false" ht="15" hidden="false" customHeight="false" outlineLevel="0" collapsed="false">
      <c r="A19" s="19" t="s">
        <v>141</v>
      </c>
      <c r="B19" s="20" t="n">
        <f aca="false">SUM(B5:B18)</f>
        <v>48</v>
      </c>
      <c r="C19" s="21" t="n">
        <f aca="false">B19/B19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2026-07-03T10:23:46Z</dcterms:created>
  <dc:creator>openpyxl</dc:creator>
  <dc:description/>
  <dc:language>en-US</dc:language>
  <cp:lastModifiedBy/>
  <dcterms:modified xsi:type="dcterms:W3CDTF">2026-07-03T10:23:46Z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